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JANEIRO 26" sheetId="6" r:id="rId1"/>
  </sheets>
  <calcPr calcId="124519"/>
  <extLst>
    <ext uri="GoogleSheetsCustomDataVersion2">
      <go:sheetsCustomData xmlns:go="http://customooxmlschemas.google.com/" r:id="" roundtripDataChecksum="ms9+oGuGX0tnsg2cKwkrTcswep3Jui1xuaVhMt8lSh4="/>
    </ext>
  </extLst>
</workbook>
</file>

<file path=xl/calcChain.xml><?xml version="1.0" encoding="utf-8"?>
<calcChain xmlns="http://schemas.openxmlformats.org/spreadsheetml/2006/main">
  <c r="N46" i="6"/>
  <c r="H46"/>
  <c r="H14"/>
  <c r="H48" l="1"/>
  <c r="E51"/>
  <c r="F48"/>
</calcChain>
</file>

<file path=xl/sharedStrings.xml><?xml version="1.0" encoding="utf-8"?>
<sst xmlns="http://schemas.openxmlformats.org/spreadsheetml/2006/main" count="52" uniqueCount="46">
  <si>
    <t>OUTROS</t>
  </si>
  <si>
    <t>ECONOMIAS</t>
  </si>
  <si>
    <t>TOTAL RECEITA</t>
  </si>
  <si>
    <t>DESPESAS</t>
  </si>
  <si>
    <t>COMBUSTIVEL</t>
  </si>
  <si>
    <t>PARCELA CARRO</t>
  </si>
  <si>
    <t>SEGURO CARRO</t>
  </si>
  <si>
    <t>TOTAL DESPESAS</t>
  </si>
  <si>
    <t>TOTAL</t>
  </si>
  <si>
    <t>LUCRO NO MÊS</t>
  </si>
  <si>
    <t>OUTRAS DESPESAS</t>
  </si>
  <si>
    <t>LUCRO FINAL</t>
  </si>
  <si>
    <t>OBSERVAÇÃO</t>
  </si>
  <si>
    <t>COMBUSTÍVEL  13/01</t>
  </si>
  <si>
    <t>COMBUSTÍVEL 15/01</t>
  </si>
  <si>
    <t>MERCADO 13/01</t>
  </si>
  <si>
    <t>DEVOLUÇÃO DO VALOR DAS ECONOMIAS</t>
  </si>
  <si>
    <t>CONTROLE FINANCEIRO PESSOAL</t>
  </si>
  <si>
    <t>SALÁRIO</t>
  </si>
  <si>
    <t>JOÃO</t>
  </si>
  <si>
    <t>MARIA</t>
  </si>
  <si>
    <t>SALÁRIO 2</t>
  </si>
  <si>
    <t>EMPRÉSTIMO</t>
  </si>
  <si>
    <t>CONTA DE ENERGIA</t>
  </si>
  <si>
    <t>CONTA DE ÁGUA</t>
  </si>
  <si>
    <t>PLANO DE SAÚDE FILHO 1</t>
  </si>
  <si>
    <t>FATURA CARTÃO</t>
  </si>
  <si>
    <t>ACORDO BANCÁRIO</t>
  </si>
  <si>
    <t xml:space="preserve">PSICOLOGO </t>
  </si>
  <si>
    <t xml:space="preserve">ACORDO (13/25)  </t>
  </si>
  <si>
    <t>FATURA OPERADORA DE CELULAR PÓS PAGO</t>
  </si>
  <si>
    <t xml:space="preserve">INTERNET </t>
  </si>
  <si>
    <t>PLANO DE SAÚDE FILHO 2</t>
  </si>
  <si>
    <t>EMPRESTIMO</t>
  </si>
  <si>
    <t>PARCELA (05/10)</t>
  </si>
  <si>
    <t>DÉBITO RECEITA</t>
  </si>
  <si>
    <t>CARTÃO LOJA</t>
  </si>
  <si>
    <t>COMPRAS ONLINE</t>
  </si>
  <si>
    <t>PARCELA (03/09)</t>
  </si>
  <si>
    <t>ESCOLA FILHOS</t>
  </si>
  <si>
    <t>CARRO DE APLICATIVO 10/01</t>
  </si>
  <si>
    <t>CINEMA 11/01</t>
  </si>
  <si>
    <t>COMBUSTÍVEL</t>
  </si>
  <si>
    <t>JANTAR</t>
  </si>
  <si>
    <t xml:space="preserve">PASSEIO </t>
  </si>
  <si>
    <t>LANCHE 08/01</t>
  </si>
</sst>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[$R$]#,##0.00"/>
  </numFmts>
  <fonts count="8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6"/>
      <color theme="1"/>
      <name val="Calibri"/>
    </font>
    <font>
      <b/>
      <sz val="14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164" fontId="2" fillId="0" borderId="0" xfId="0" applyNumberFormat="1" applyFont="1"/>
    <xf numFmtId="164" fontId="2" fillId="0" borderId="0" xfId="0" applyNumberFormat="1" applyFont="1" applyAlignment="1"/>
    <xf numFmtId="165" fontId="4" fillId="0" borderId="0" xfId="0" applyNumberFormat="1" applyFont="1" applyAlignment="1"/>
    <xf numFmtId="165" fontId="4" fillId="0" borderId="0" xfId="0" applyNumberFormat="1" applyFont="1"/>
    <xf numFmtId="165" fontId="5" fillId="0" borderId="0" xfId="0" applyNumberFormat="1" applyFont="1"/>
    <xf numFmtId="165" fontId="2" fillId="0" borderId="0" xfId="0" applyNumberFormat="1" applyFont="1" applyAlignment="1"/>
    <xf numFmtId="164" fontId="5" fillId="0" borderId="0" xfId="0" applyNumberFormat="1" applyFont="1"/>
    <xf numFmtId="164" fontId="2" fillId="6" borderId="0" xfId="0" applyNumberFormat="1" applyFont="1" applyFill="1" applyAlignment="1"/>
    <xf numFmtId="164" fontId="2" fillId="6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center"/>
    </xf>
    <xf numFmtId="165" fontId="5" fillId="6" borderId="0" xfId="0" applyNumberFormat="1" applyFont="1" applyFill="1" applyAlignment="1"/>
    <xf numFmtId="0" fontId="0" fillId="0" borderId="3" xfId="0" applyFont="1" applyBorder="1" applyAlignment="1"/>
    <xf numFmtId="0" fontId="4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3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5" borderId="0" xfId="0" applyFont="1" applyFill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/>
    <xf numFmtId="164" fontId="5" fillId="7" borderId="0" xfId="0" applyNumberFormat="1" applyFont="1" applyFill="1"/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51"/>
  <sheetViews>
    <sheetView tabSelected="1" workbookViewId="0">
      <selection activeCell="I43" sqref="I43"/>
    </sheetView>
  </sheetViews>
  <sheetFormatPr defaultColWidth="14.42578125" defaultRowHeight="15" customHeight="1"/>
  <cols>
    <col min="1" max="1" width="4.85546875" customWidth="1"/>
    <col min="2" max="2" width="8.42578125" customWidth="1"/>
    <col min="3" max="3" width="8" customWidth="1"/>
    <col min="4" max="4" width="7.85546875" customWidth="1"/>
    <col min="9" max="9" width="28.85546875" customWidth="1"/>
  </cols>
  <sheetData>
    <row r="1" spans="1:8">
      <c r="A1" s="24" t="s">
        <v>17</v>
      </c>
      <c r="B1" s="14"/>
      <c r="C1" s="14"/>
      <c r="D1" s="14"/>
      <c r="E1" s="14"/>
      <c r="F1" s="14"/>
      <c r="G1" s="14"/>
      <c r="H1" s="14"/>
    </row>
    <row r="2" spans="1:8" ht="15" customHeight="1">
      <c r="A2" s="14"/>
      <c r="B2" s="14"/>
      <c r="C2" s="14"/>
      <c r="D2" s="14"/>
      <c r="E2" s="14"/>
      <c r="F2" s="14"/>
      <c r="G2" s="14"/>
      <c r="H2" s="14"/>
    </row>
    <row r="3" spans="1:8" ht="15" customHeight="1">
      <c r="A3" s="14"/>
      <c r="B3" s="14"/>
      <c r="C3" s="14"/>
      <c r="D3" s="14"/>
      <c r="E3" s="14"/>
      <c r="F3" s="14"/>
      <c r="G3" s="14"/>
      <c r="H3" s="14"/>
    </row>
    <row r="4" spans="1:8">
      <c r="A4" s="16" t="s">
        <v>19</v>
      </c>
      <c r="B4" s="14"/>
      <c r="C4" s="14"/>
      <c r="D4" s="14"/>
      <c r="E4" s="16" t="s">
        <v>18</v>
      </c>
      <c r="F4" s="14"/>
      <c r="G4" s="14"/>
      <c r="H4" s="6">
        <v>4224.32</v>
      </c>
    </row>
    <row r="5" spans="1:8">
      <c r="A5" s="16" t="s">
        <v>19</v>
      </c>
      <c r="B5" s="14"/>
      <c r="C5" s="14"/>
      <c r="D5" s="14"/>
      <c r="E5" s="16" t="s">
        <v>0</v>
      </c>
      <c r="F5" s="14"/>
      <c r="G5" s="14"/>
      <c r="H5" s="1">
        <v>2000</v>
      </c>
    </row>
    <row r="6" spans="1:8">
      <c r="A6" s="16" t="s">
        <v>19</v>
      </c>
      <c r="B6" s="14"/>
      <c r="C6" s="14"/>
      <c r="D6" s="14"/>
      <c r="E6" s="16" t="s">
        <v>1</v>
      </c>
      <c r="F6" s="14"/>
      <c r="G6" s="14"/>
      <c r="H6" s="2">
        <v>630</v>
      </c>
    </row>
    <row r="7" spans="1:8">
      <c r="H7" s="1"/>
    </row>
    <row r="8" spans="1:8">
      <c r="H8" s="1"/>
    </row>
    <row r="9" spans="1:8">
      <c r="A9" s="16" t="s">
        <v>20</v>
      </c>
      <c r="B9" s="14"/>
      <c r="C9" s="14"/>
      <c r="D9" s="14"/>
      <c r="E9" s="16" t="s">
        <v>18</v>
      </c>
      <c r="F9" s="14"/>
      <c r="G9" s="14"/>
      <c r="H9" s="2">
        <v>3500</v>
      </c>
    </row>
    <row r="10" spans="1:8">
      <c r="A10" s="16" t="s">
        <v>20</v>
      </c>
      <c r="B10" s="14"/>
      <c r="C10" s="14"/>
      <c r="D10" s="14"/>
      <c r="E10" s="16" t="s">
        <v>21</v>
      </c>
      <c r="F10" s="14"/>
      <c r="G10" s="14"/>
      <c r="H10" s="2">
        <v>2000</v>
      </c>
    </row>
    <row r="11" spans="1:8">
      <c r="A11" s="16"/>
      <c r="B11" s="14"/>
      <c r="C11" s="14"/>
      <c r="D11" s="14"/>
      <c r="E11" s="16"/>
      <c r="F11" s="14"/>
      <c r="G11" s="14"/>
      <c r="H11" s="2"/>
    </row>
    <row r="12" spans="1:8">
      <c r="H12" s="1"/>
    </row>
    <row r="13" spans="1:8">
      <c r="H13" s="1"/>
    </row>
    <row r="14" spans="1:8">
      <c r="A14" s="19" t="s">
        <v>2</v>
      </c>
      <c r="B14" s="20"/>
      <c r="C14" s="20"/>
      <c r="D14" s="20"/>
      <c r="E14" s="20"/>
      <c r="F14" s="20"/>
      <c r="G14" s="21"/>
      <c r="H14" s="1">
        <f>SUM(H4:H13)</f>
        <v>12354.32</v>
      </c>
    </row>
    <row r="15" spans="1:8">
      <c r="H15" s="1"/>
    </row>
    <row r="17" spans="1:14">
      <c r="A17" s="22" t="s">
        <v>3</v>
      </c>
      <c r="B17" s="20"/>
      <c r="C17" s="20"/>
      <c r="D17" s="20"/>
      <c r="E17" s="20"/>
      <c r="F17" s="20"/>
      <c r="G17" s="20"/>
      <c r="H17" s="21"/>
      <c r="I17" s="10" t="s">
        <v>12</v>
      </c>
      <c r="K17" s="23" t="s">
        <v>10</v>
      </c>
      <c r="L17" s="14"/>
      <c r="M17" s="14"/>
      <c r="N17" s="14"/>
    </row>
    <row r="18" spans="1:14">
      <c r="D18" s="16" t="s">
        <v>22</v>
      </c>
      <c r="E18" s="14"/>
      <c r="F18" s="14"/>
      <c r="G18" s="14"/>
      <c r="H18" s="8">
        <v>406.44</v>
      </c>
      <c r="K18" s="17" t="s">
        <v>42</v>
      </c>
      <c r="L18" s="14"/>
      <c r="M18" s="14"/>
      <c r="N18" s="3">
        <v>100</v>
      </c>
    </row>
    <row r="19" spans="1:14">
      <c r="D19" s="16" t="s">
        <v>22</v>
      </c>
      <c r="E19" s="14"/>
      <c r="F19" s="14"/>
      <c r="G19" s="14"/>
      <c r="H19" s="8">
        <v>450</v>
      </c>
      <c r="K19" s="17" t="s">
        <v>44</v>
      </c>
      <c r="L19" s="14"/>
      <c r="M19" s="14"/>
      <c r="N19" s="3">
        <v>250</v>
      </c>
    </row>
    <row r="20" spans="1:14">
      <c r="D20" s="16" t="s">
        <v>5</v>
      </c>
      <c r="E20" s="14"/>
      <c r="F20" s="14"/>
      <c r="G20" s="14"/>
      <c r="H20" s="9">
        <v>1861.71</v>
      </c>
      <c r="K20" s="17" t="s">
        <v>43</v>
      </c>
      <c r="L20" s="14"/>
      <c r="M20" s="14"/>
      <c r="N20" s="3">
        <v>150</v>
      </c>
    </row>
    <row r="21" spans="1:14">
      <c r="D21" s="16" t="s">
        <v>23</v>
      </c>
      <c r="E21" s="14"/>
      <c r="F21" s="14"/>
      <c r="G21" s="14"/>
      <c r="H21" s="8">
        <v>423.91</v>
      </c>
      <c r="K21" s="15" t="s">
        <v>4</v>
      </c>
      <c r="L21" s="14"/>
      <c r="M21" s="14"/>
      <c r="N21" s="3">
        <v>60</v>
      </c>
    </row>
    <row r="22" spans="1:14">
      <c r="D22" s="16" t="s">
        <v>24</v>
      </c>
      <c r="E22" s="14"/>
      <c r="F22" s="14"/>
      <c r="G22" s="14"/>
      <c r="H22" s="8">
        <v>189</v>
      </c>
      <c r="K22" s="17" t="s">
        <v>45</v>
      </c>
      <c r="L22" s="14"/>
      <c r="M22" s="14"/>
      <c r="N22" s="3">
        <v>55</v>
      </c>
    </row>
    <row r="23" spans="1:14">
      <c r="D23" s="16" t="s">
        <v>25</v>
      </c>
      <c r="E23" s="14"/>
      <c r="F23" s="14"/>
      <c r="G23" s="14"/>
      <c r="H23" s="8">
        <v>217.66</v>
      </c>
      <c r="K23" s="17" t="s">
        <v>40</v>
      </c>
      <c r="L23" s="14"/>
      <c r="M23" s="14"/>
      <c r="N23" s="3">
        <v>75</v>
      </c>
    </row>
    <row r="24" spans="1:14">
      <c r="D24" s="16" t="s">
        <v>26</v>
      </c>
      <c r="E24" s="14"/>
      <c r="F24" s="14"/>
      <c r="G24" s="14"/>
      <c r="H24" s="8">
        <v>406.09</v>
      </c>
      <c r="I24" s="12"/>
      <c r="K24" s="18" t="s">
        <v>41</v>
      </c>
      <c r="L24" s="18"/>
      <c r="M24" s="18"/>
      <c r="N24" s="3">
        <v>180</v>
      </c>
    </row>
    <row r="25" spans="1:14">
      <c r="D25" s="16" t="s">
        <v>26</v>
      </c>
      <c r="E25" s="14"/>
      <c r="F25" s="14"/>
      <c r="G25" s="14"/>
      <c r="H25" s="8">
        <v>600</v>
      </c>
      <c r="I25" s="12"/>
      <c r="K25" s="15" t="s">
        <v>13</v>
      </c>
      <c r="L25" s="14"/>
      <c r="M25" s="14"/>
      <c r="N25" s="3">
        <v>60</v>
      </c>
    </row>
    <row r="26" spans="1:14">
      <c r="D26" s="16" t="s">
        <v>27</v>
      </c>
      <c r="E26" s="14"/>
      <c r="F26" s="14"/>
      <c r="G26" s="14"/>
      <c r="H26" s="8">
        <v>56.83</v>
      </c>
      <c r="I26" s="12"/>
      <c r="K26" s="15" t="s">
        <v>14</v>
      </c>
      <c r="L26" s="14"/>
      <c r="M26" s="14"/>
      <c r="N26" s="3">
        <v>80</v>
      </c>
    </row>
    <row r="27" spans="1:14">
      <c r="D27" s="16" t="s">
        <v>28</v>
      </c>
      <c r="E27" s="14"/>
      <c r="F27" s="14"/>
      <c r="G27" s="14"/>
      <c r="H27" s="8">
        <v>300</v>
      </c>
      <c r="K27" s="17" t="s">
        <v>15</v>
      </c>
      <c r="L27" s="14"/>
      <c r="M27" s="14"/>
      <c r="N27" s="3">
        <v>83</v>
      </c>
    </row>
    <row r="28" spans="1:14">
      <c r="D28" s="16" t="s">
        <v>6</v>
      </c>
      <c r="E28" s="14"/>
      <c r="F28" s="14"/>
      <c r="G28" s="14"/>
      <c r="H28" s="8">
        <v>350</v>
      </c>
      <c r="K28" s="15"/>
      <c r="L28" s="14"/>
      <c r="M28" s="14"/>
      <c r="N28" s="4"/>
    </row>
    <row r="29" spans="1:14">
      <c r="D29" s="16" t="s">
        <v>29</v>
      </c>
      <c r="E29" s="14"/>
      <c r="F29" s="14"/>
      <c r="G29" s="14"/>
      <c r="H29" s="8">
        <v>42.41</v>
      </c>
      <c r="K29" s="15"/>
      <c r="L29" s="14"/>
      <c r="M29" s="14"/>
      <c r="N29" s="4"/>
    </row>
    <row r="30" spans="1:14">
      <c r="D30" s="16" t="s">
        <v>30</v>
      </c>
      <c r="E30" s="14"/>
      <c r="F30" s="14"/>
      <c r="G30" s="14"/>
      <c r="H30" s="8">
        <v>159.74</v>
      </c>
      <c r="K30" s="13"/>
      <c r="L30" s="14"/>
      <c r="M30" s="14"/>
      <c r="N30" s="4"/>
    </row>
    <row r="31" spans="1:14">
      <c r="D31" s="16" t="s">
        <v>31</v>
      </c>
      <c r="E31" s="14"/>
      <c r="F31" s="14"/>
      <c r="G31" s="14"/>
      <c r="H31" s="8">
        <v>150.59</v>
      </c>
      <c r="K31" s="13"/>
      <c r="L31" s="14"/>
      <c r="M31" s="14"/>
      <c r="N31" s="4"/>
    </row>
    <row r="32" spans="1:14">
      <c r="D32" s="16" t="s">
        <v>32</v>
      </c>
      <c r="E32" s="14"/>
      <c r="F32" s="14"/>
      <c r="G32" s="14"/>
      <c r="H32" s="8">
        <v>318.47000000000003</v>
      </c>
      <c r="K32" s="13"/>
      <c r="L32" s="14"/>
      <c r="M32" s="14"/>
      <c r="N32" s="4"/>
    </row>
    <row r="33" spans="1:14">
      <c r="D33" s="16" t="s">
        <v>33</v>
      </c>
      <c r="E33" s="14"/>
      <c r="F33" s="14"/>
      <c r="G33" s="14"/>
      <c r="H33" s="8">
        <v>185.05</v>
      </c>
      <c r="K33" s="13"/>
      <c r="L33" s="14"/>
      <c r="M33" s="14"/>
      <c r="N33" s="4"/>
    </row>
    <row r="34" spans="1:14">
      <c r="D34" s="16" t="s">
        <v>34</v>
      </c>
      <c r="E34" s="14"/>
      <c r="F34" s="14"/>
      <c r="G34" s="14"/>
      <c r="H34" s="8">
        <v>255</v>
      </c>
      <c r="K34" s="13"/>
      <c r="L34" s="14"/>
      <c r="M34" s="14"/>
      <c r="N34" s="4"/>
    </row>
    <row r="35" spans="1:14">
      <c r="D35" s="16" t="s">
        <v>35</v>
      </c>
      <c r="E35" s="14"/>
      <c r="F35" s="14"/>
      <c r="G35" s="14"/>
      <c r="H35" s="8">
        <v>237.42</v>
      </c>
      <c r="K35" s="13"/>
      <c r="L35" s="14"/>
      <c r="M35" s="14"/>
      <c r="N35" s="4"/>
    </row>
    <row r="36" spans="1:14">
      <c r="D36" s="16" t="s">
        <v>16</v>
      </c>
      <c r="E36" s="14"/>
      <c r="F36" s="14"/>
      <c r="G36" s="14"/>
      <c r="H36" s="8">
        <v>600</v>
      </c>
      <c r="K36" s="13"/>
      <c r="L36" s="14"/>
      <c r="M36" s="14"/>
      <c r="N36" s="4"/>
    </row>
    <row r="37" spans="1:14">
      <c r="D37" s="26" t="s">
        <v>36</v>
      </c>
      <c r="E37" s="14"/>
      <c r="F37" s="14"/>
      <c r="G37" s="14"/>
      <c r="H37" s="8">
        <v>124.01</v>
      </c>
      <c r="K37" s="13"/>
      <c r="L37" s="14"/>
      <c r="M37" s="14"/>
      <c r="N37" s="4"/>
    </row>
    <row r="38" spans="1:14">
      <c r="D38" s="26" t="s">
        <v>37</v>
      </c>
      <c r="E38" s="14"/>
      <c r="F38" s="14"/>
      <c r="G38" s="14"/>
      <c r="H38" s="8">
        <v>176.35</v>
      </c>
      <c r="K38" s="13"/>
      <c r="L38" s="14"/>
      <c r="M38" s="14"/>
      <c r="N38" s="4"/>
    </row>
    <row r="39" spans="1:14">
      <c r="D39" s="26" t="s">
        <v>38</v>
      </c>
      <c r="E39" s="14"/>
      <c r="F39" s="14"/>
      <c r="G39" s="14"/>
      <c r="H39" s="8">
        <v>140.77000000000001</v>
      </c>
      <c r="K39" s="13"/>
      <c r="L39" s="14"/>
      <c r="M39" s="14"/>
      <c r="N39" s="4"/>
    </row>
    <row r="40" spans="1:14">
      <c r="D40" s="26" t="s">
        <v>39</v>
      </c>
      <c r="E40" s="14"/>
      <c r="F40" s="14"/>
      <c r="G40" s="14"/>
      <c r="H40" s="8">
        <v>2400</v>
      </c>
      <c r="K40" s="13"/>
      <c r="L40" s="14"/>
      <c r="M40" s="14"/>
      <c r="N40" s="4"/>
    </row>
    <row r="41" spans="1:14">
      <c r="D41" s="27"/>
      <c r="E41" s="14"/>
      <c r="F41" s="14"/>
      <c r="G41" s="14"/>
      <c r="H41" s="11"/>
      <c r="K41" s="13"/>
      <c r="L41" s="14"/>
      <c r="M41" s="14"/>
      <c r="N41" s="4"/>
    </row>
    <row r="42" spans="1:14">
      <c r="D42" s="27"/>
      <c r="E42" s="14"/>
      <c r="F42" s="14"/>
      <c r="G42" s="14"/>
      <c r="H42" s="11"/>
      <c r="K42" s="13"/>
      <c r="L42" s="14"/>
      <c r="M42" s="14"/>
      <c r="N42" s="4"/>
    </row>
    <row r="43" spans="1:14">
      <c r="D43" s="14"/>
      <c r="E43" s="14"/>
      <c r="F43" s="14"/>
      <c r="G43" s="14"/>
      <c r="H43" s="6"/>
      <c r="K43" s="13"/>
      <c r="L43" s="14"/>
      <c r="M43" s="14"/>
      <c r="N43" s="4"/>
    </row>
    <row r="44" spans="1:14">
      <c r="D44" s="14"/>
      <c r="E44" s="14"/>
      <c r="F44" s="14"/>
      <c r="G44" s="14"/>
      <c r="H44" s="6"/>
      <c r="K44" s="13"/>
      <c r="L44" s="14"/>
      <c r="M44" s="14"/>
      <c r="N44" s="4"/>
    </row>
    <row r="45" spans="1:14">
      <c r="D45" s="14"/>
      <c r="E45" s="14"/>
      <c r="F45" s="14"/>
      <c r="G45" s="14"/>
      <c r="H45" s="6"/>
      <c r="K45" s="13"/>
      <c r="L45" s="14"/>
      <c r="M45" s="14"/>
      <c r="N45" s="4"/>
    </row>
    <row r="46" spans="1:14">
      <c r="D46" s="22" t="s">
        <v>7</v>
      </c>
      <c r="E46" s="20"/>
      <c r="F46" s="20"/>
      <c r="G46" s="21"/>
      <c r="H46" s="7">
        <f>SUM(H18:H45)</f>
        <v>10051.450000000001</v>
      </c>
      <c r="K46" s="25" t="s">
        <v>8</v>
      </c>
      <c r="L46" s="14"/>
      <c r="M46" s="14"/>
      <c r="N46" s="5">
        <f>SUM(N17:N45)</f>
        <v>1093</v>
      </c>
    </row>
    <row r="48" spans="1:14" ht="15" customHeight="1">
      <c r="A48" s="30" t="s">
        <v>9</v>
      </c>
      <c r="B48" s="14"/>
      <c r="C48" s="14"/>
      <c r="D48" s="14"/>
      <c r="E48" s="14"/>
      <c r="F48" s="16" t="str">
        <f>IF(H48&gt;=500," BOM "," RUIM ")</f>
        <v xml:space="preserve"> BOM </v>
      </c>
      <c r="G48" s="14"/>
      <c r="H48" s="1">
        <f>H14-H46</f>
        <v>2302.869999999999</v>
      </c>
    </row>
    <row r="51" spans="2:7" ht="15" customHeight="1">
      <c r="B51" s="28" t="s">
        <v>11</v>
      </c>
      <c r="C51" s="14"/>
      <c r="D51" s="14"/>
      <c r="E51" s="29">
        <f>H48-N46-S46</f>
        <v>1209.869999999999</v>
      </c>
      <c r="F51" s="14"/>
      <c r="G51" s="14"/>
    </row>
  </sheetData>
  <mergeCells count="78"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B51:D51"/>
    <mergeCell ref="E51:G51"/>
    <mergeCell ref="D42:G42"/>
    <mergeCell ref="D43:G43"/>
    <mergeCell ref="D44:G44"/>
    <mergeCell ref="D45:G45"/>
    <mergeCell ref="D46:G46"/>
    <mergeCell ref="A48:E48"/>
    <mergeCell ref="F48:G48"/>
    <mergeCell ref="K43:M43"/>
    <mergeCell ref="K44:M44"/>
    <mergeCell ref="K45:M45"/>
    <mergeCell ref="K46:M46"/>
    <mergeCell ref="K36:M36"/>
    <mergeCell ref="K37:M37"/>
    <mergeCell ref="K38:M38"/>
    <mergeCell ref="K39:M39"/>
    <mergeCell ref="K40:M40"/>
    <mergeCell ref="K41:M41"/>
    <mergeCell ref="K42:M42"/>
    <mergeCell ref="A1:H3"/>
    <mergeCell ref="A4:D4"/>
    <mergeCell ref="E4:G4"/>
    <mergeCell ref="A5:D5"/>
    <mergeCell ref="E5:G5"/>
    <mergeCell ref="A6:D6"/>
    <mergeCell ref="E6:G6"/>
    <mergeCell ref="A9:D9"/>
    <mergeCell ref="E9:G9"/>
    <mergeCell ref="A10:D10"/>
    <mergeCell ref="E10:G10"/>
    <mergeCell ref="A11:D11"/>
    <mergeCell ref="E11:G11"/>
    <mergeCell ref="A14:G14"/>
    <mergeCell ref="A17:H17"/>
    <mergeCell ref="K17:N17"/>
    <mergeCell ref="D18:G18"/>
    <mergeCell ref="K18:M18"/>
    <mergeCell ref="D19:G19"/>
    <mergeCell ref="K19:M19"/>
    <mergeCell ref="K20:M20"/>
    <mergeCell ref="K23:M23"/>
    <mergeCell ref="K24:M24"/>
    <mergeCell ref="D20:G20"/>
    <mergeCell ref="D21:G21"/>
    <mergeCell ref="K21:M21"/>
    <mergeCell ref="D22:G22"/>
    <mergeCell ref="K22:M22"/>
    <mergeCell ref="D23:G23"/>
    <mergeCell ref="D24:G24"/>
    <mergeCell ref="D25:G25"/>
    <mergeCell ref="K25:M25"/>
    <mergeCell ref="D26:G26"/>
    <mergeCell ref="K26:M26"/>
    <mergeCell ref="D27:G27"/>
    <mergeCell ref="K27:M27"/>
    <mergeCell ref="K33:M33"/>
    <mergeCell ref="K34:M34"/>
    <mergeCell ref="K35:M35"/>
    <mergeCell ref="K28:M28"/>
    <mergeCell ref="K29:M29"/>
    <mergeCell ref="K30:M30"/>
    <mergeCell ref="K31:M31"/>
    <mergeCell ref="K32:M32"/>
  </mergeCells>
  <conditionalFormatting sqref="F48:G48">
    <cfRule type="expression" dxfId="1" priority="1">
      <formula>F48= " RUIM "</formula>
    </cfRule>
  </conditionalFormatting>
  <conditionalFormatting sqref="F48:G48">
    <cfRule type="expression" dxfId="0" priority="2">
      <formula>F48= " BOM 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 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RioSaude</dc:creator>
  <cp:lastModifiedBy>RioSaude</cp:lastModifiedBy>
  <dcterms:created xsi:type="dcterms:W3CDTF">2025-08-05T15:12:31Z</dcterms:created>
  <dcterms:modified xsi:type="dcterms:W3CDTF">2026-03-23T16:22:58Z</dcterms:modified>
</cp:coreProperties>
</file>